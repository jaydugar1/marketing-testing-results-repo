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employerdirect.sharepoint.com/sites/EnterpriseAnalytics/Shared Documents/2026/Activation Analytics/Marketing Testing/Testing Q1/"/>
    </mc:Choice>
  </mc:AlternateContent>
  <xr:revisionPtr revIDLastSave="960" documentId="8_{776B397F-2441-464D-B0CA-1954F3333BB1}" xr6:coauthVersionLast="47" xr6:coauthVersionMax="47" xr10:uidLastSave="{6D495FD9-116A-49F5-9753-91BE74C2B5C2}"/>
  <bookViews>
    <workbookView xWindow="-80" yWindow="-80" windowWidth="19360" windowHeight="11440" xr2:uid="{D61DB70E-3633-4008-ABC5-70ADE4E66AE6}"/>
  </bookViews>
  <sheets>
    <sheet name="Q4 2026" sheetId="8" r:id="rId1"/>
    <sheet name="Q3 2026" sheetId="7" r:id="rId2"/>
    <sheet name="Q2 2026" sheetId="3" r:id="rId3"/>
    <sheet name="Q1 2026" sheetId="4" r:id="rId4"/>
    <sheet name="Q4 2025" sheetId="5" r:id="rId5"/>
    <sheet name="Appendix" sheetId="6" r:id="rId6"/>
  </sheets>
  <definedNames>
    <definedName name="_xlnm._FilterDatabase" localSheetId="3" hidden="1">'Q1 2026'!$D$3:$L$3</definedName>
    <definedName name="_xlnm._FilterDatabase" localSheetId="2" hidden="1">'Q2 2026'!$D$3:$L$3</definedName>
    <definedName name="_xlnm._FilterDatabase" localSheetId="1" hidden="1">'Q3 2026'!$C$3:$M$3</definedName>
    <definedName name="_xlnm._FilterDatabase" localSheetId="4" hidden="1">'Q4 2025'!$C$3:$K$3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" l="1"/>
  <c r="I8" i="4"/>
  <c r="I10" i="4"/>
  <c r="I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tc={56196645-6C8A-49BB-9C19-D66035AEDE84}</author>
    <author>tc={5E0FFFAF-A734-4257-B236-899D09285FA8}</author>
    <author>tc={D931E59D-6412-4B70-8196-61DBA79AB160}</author>
    <author>tc={FAB1BE94-8239-4E87-B91A-686517E3FFDE}</author>
  </authors>
  <commentList>
    <comment ref="G4" authorId="0" shapeId="0" xr:uid="{56196645-6C8A-49BB-9C19-D66035AEDE8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@Jay Dugar is this just based on print timing?</t>
      </text>
    </comment>
    <comment ref="J6" authorId="1" shapeId="0" xr:uid="{5E0FFFAF-A734-4257-B236-899D09285FA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@Jay Dugar do we need approval for this test?</t>
      </text>
    </comment>
    <comment ref="I7" authorId="2" shapeId="0" xr:uid="{D931E59D-6412-4B70-8196-61DBA79AB16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@Jay Dugar - CTA selections have been provided, correct? Are clients still needing to be selected? 
Reply:
    I have the bank - wasn’t sure if we were going to test all of them, or just a selection from what was provided. Your call, just let me know!
And yes, clients are still to be selected</t>
      </text>
    </comment>
    <comment ref="J8" authorId="3" shapeId="0" xr:uid="{FAB1BE94-8239-4E87-B91A-686517E3FFD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@Jay Dugar do we need client approval for this test or does that come after client selection?</t>
      </text>
    </comment>
  </commentList>
</comments>
</file>

<file path=xl/sharedStrings.xml><?xml version="1.0" encoding="utf-8"?>
<sst xmlns="http://schemas.openxmlformats.org/spreadsheetml/2006/main" count="334" uniqueCount="170">
  <si>
    <t>Timeframe</t>
  </si>
  <si>
    <t>Test Name</t>
  </si>
  <si>
    <t>Audience</t>
  </si>
  <si>
    <t>Channel</t>
  </si>
  <si>
    <t>Quarter</t>
  </si>
  <si>
    <t>Start Date</t>
  </si>
  <si>
    <t>End Date</t>
  </si>
  <si>
    <t>Test Status</t>
  </si>
  <si>
    <t>Approvals</t>
  </si>
  <si>
    <t>In Monday? (Need client, what test)</t>
  </si>
  <si>
    <t>Clients</t>
  </si>
  <si>
    <t>Notes</t>
  </si>
  <si>
    <t>Test Details</t>
  </si>
  <si>
    <t>CTA Envelope Test (3 CTAs) </t>
  </si>
  <si>
    <t>Direct Mail</t>
  </si>
  <si>
    <t>Q4 2026</t>
  </si>
  <si>
    <t>Tier 1 Bifold Clients</t>
  </si>
  <si>
    <t>Tier 1 clients who declined testing/optimizations</t>
  </si>
  <si>
    <t>Q4 Letter </t>
  </si>
  <si>
    <t>Q4 Letter: Lift Note vs No Lift Note</t>
  </si>
  <si>
    <t>Q4 Letter - Imagery + Lift Note</t>
  </si>
  <si>
    <t>Lift note v no lift note; Lift note image v no image</t>
  </si>
  <si>
    <t>Digital CTA TEST</t>
  </si>
  <si>
    <t>Email</t>
  </si>
  <si>
    <t>* lift note or insert</t>
  </si>
  <si>
    <t>Mandatory Insert Test</t>
  </si>
  <si>
    <t>Run on June and July test group (existing clients, offcycle) - Appendix</t>
  </si>
  <si>
    <t>ID Card</t>
  </si>
  <si>
    <t>Q3 2026</t>
  </si>
  <si>
    <t>In Production</t>
  </si>
  <si>
    <t>Don't need approval</t>
  </si>
  <si>
    <t>Insert vs Lift Note</t>
  </si>
  <si>
    <t>Implementing Clients - new clients starting 6/1 or 7/1 - Appendix</t>
  </si>
  <si>
    <t>CANCELLED - to be resumed in future quarter</t>
  </si>
  <si>
    <t>Approval needed</t>
  </si>
  <si>
    <t>State of Delaware, Spirit, Linde, Michaels</t>
  </si>
  <si>
    <t>Plan Specific Letter</t>
  </si>
  <si>
    <t>Mailer</t>
  </si>
  <si>
    <t>A/B</t>
  </si>
  <si>
    <t>Envelope CTA</t>
  </si>
  <si>
    <t>CANCELLED</t>
  </si>
  <si>
    <t>CTA bank available</t>
  </si>
  <si>
    <t>Clients MUST have carve-out available</t>
  </si>
  <si>
    <t>A/B/C (one group is holdout)</t>
  </si>
  <si>
    <t>KEY NOTES</t>
  </si>
  <si>
    <t>BRDs are complete</t>
  </si>
  <si>
    <t>All Q3 Test in Monday Board, Erin to confirm status</t>
  </si>
  <si>
    <t>Deployed</t>
  </si>
  <si>
    <t>Results out</t>
  </si>
  <si>
    <t>Test #</t>
  </si>
  <si>
    <t>Yes</t>
  </si>
  <si>
    <t>Bi-Fold vs Letter</t>
  </si>
  <si>
    <t>21 clients, 322k EEs</t>
  </si>
  <si>
    <t>Q2 2026</t>
  </si>
  <si>
    <t>Early April</t>
  </si>
  <si>
    <t>June</t>
  </si>
  <si>
    <t>Approved by CS</t>
  </si>
  <si>
    <t>Will finalize test groups after 3.20 (deadline for CS to obtain approvals). As of 3/27 - list shared with Ashi, ready to go</t>
  </si>
  <si>
    <t>Letter vs Letter - Employer Branding</t>
  </si>
  <si>
    <t>61 clients, 686k EEs</t>
  </si>
  <si>
    <t>Will finalize test groups after 3.20 (deadline for CS to obtain approvals) As of 3/27 - list shared with Ashi, ready to go</t>
  </si>
  <si>
    <t>Spouse Mailer CTA Envelope Test</t>
  </si>
  <si>
    <t>State of Florida &amp; National Railroad</t>
  </si>
  <si>
    <t>Est by 3/22</t>
  </si>
  <si>
    <t>Approved by Shelby 2/11</t>
  </si>
  <si>
    <t>Ashi deployed 2/11 (ahead of her trip) with 1/3 being held out, and one of each of the remaining thirds testing a different potential CTA on the envelope</t>
  </si>
  <si>
    <t>No</t>
  </si>
  <si>
    <t>Ask HR vs CTA Bifold</t>
  </si>
  <si>
    <t>Tyson</t>
  </si>
  <si>
    <t>Designed, ready for Deployment</t>
  </si>
  <si>
    <t>Shelby sent Monday link on 3.18 - status is:</t>
  </si>
  <si>
    <t>3.18 - Monday Link</t>
  </si>
  <si>
    <t>TMO Holdout Test</t>
  </si>
  <si>
    <t>NCSHP</t>
  </si>
  <si>
    <t>TMO</t>
  </si>
  <si>
    <t>TBD</t>
  </si>
  <si>
    <t>Active as of 3/4</t>
  </si>
  <si>
    <t>Approved/deployed by Hope and Spencer</t>
  </si>
  <si>
    <t>NCSHP - guidance was to test now, ask forgiveness later. Will begin 3/1. Will be for Journeys 1-2 MSK &amp; Series 1 BARI,Channels - DM &amp; Email</t>
  </si>
  <si>
    <t>Holdout A/B</t>
  </si>
  <si>
    <t>Paid Ads T20 Test</t>
  </si>
  <si>
    <t>20 Selected Clients</t>
  </si>
  <si>
    <t>Paid</t>
  </si>
  <si>
    <t>Mid-May</t>
  </si>
  <si>
    <t>Audience selected - will be launched start of Q2 w/mailers</t>
  </si>
  <si>
    <t>Received Functional Team Approval (3.3)</t>
  </si>
  <si>
    <t>Will be run by Working Planet</t>
  </si>
  <si>
    <t>Control clients vs test clients</t>
  </si>
  <si>
    <t>Subject Line Test</t>
  </si>
  <si>
    <t>Savings Email</t>
  </si>
  <si>
    <t>Mid-April</t>
  </si>
  <si>
    <t>Early June</t>
  </si>
  <si>
    <t>Approvals not required</t>
  </si>
  <si>
    <t>3.11 -  Test has been designed, can be found here</t>
  </si>
  <si>
    <t>Test Details found in appendix</t>
  </si>
  <si>
    <t>Date &amp; Time Test</t>
  </si>
  <si>
    <t>Quality Email</t>
  </si>
  <si>
    <t>Late March</t>
  </si>
  <si>
    <t>Early/mid May</t>
  </si>
  <si>
    <t>Currently Being Designed</t>
  </si>
  <si>
    <t>3.11 - one group will have normal times, one will use smart inboxing to select ideal times. Also, one group will go out each day M-F</t>
  </si>
  <si>
    <t>Design vs Plain Test Test</t>
  </si>
  <si>
    <t>Has been designed</t>
  </si>
  <si>
    <t>Colonoscopy Reminder Email</t>
  </si>
  <si>
    <t>45+ Active Members within 50 miles of GI</t>
  </si>
  <si>
    <t>Being Explored</t>
  </si>
  <si>
    <t>Approvals Required</t>
  </si>
  <si>
    <t>As of 2/23, Hope is working with CS to explore approvals/overall feasibility</t>
  </si>
  <si>
    <t>Results Out</t>
  </si>
  <si>
    <t>Oracle Network Access Teaser</t>
  </si>
  <si>
    <t>Oracle</t>
  </si>
  <si>
    <t>Q1 2026</t>
  </si>
  <si>
    <t>Delayed by SeaChange</t>
  </si>
  <si>
    <t>Results will be delayed - as of 2/25 - Data proofs are available, getting access to FTP, so can review and approve soon. After approval, will take 8-9 days of production time to mail. Will have updated mail date in the next few days.</t>
  </si>
  <si>
    <t>Small vs Large Window Envelope Test</t>
  </si>
  <si>
    <t>North Carolina State Health Plan</t>
  </si>
  <si>
    <t>Results Published</t>
  </si>
  <si>
    <t>Approval not required</t>
  </si>
  <si>
    <t>Results Published!</t>
  </si>
  <si>
    <t>ID Card Lift Note</t>
  </si>
  <si>
    <t>State of Alaska</t>
  </si>
  <si>
    <t>Deployed - waiting on results</t>
  </si>
  <si>
    <t>Not running on Medicare population.As of 3/16, status is Cards Shipped. Resulted from State of Alaska delay</t>
  </si>
  <si>
    <t>Magnet Test</t>
  </si>
  <si>
    <t>Winsupply vs KinderCare</t>
  </si>
  <si>
    <t>*Results out will not be until early/mid April</t>
  </si>
  <si>
    <t>ID Card Color Test</t>
  </si>
  <si>
    <t>International Paper</t>
  </si>
  <si>
    <t>*Results out will not be until late-March/Early April</t>
  </si>
  <si>
    <t>Email Sent Prior to ID Card Send</t>
  </si>
  <si>
    <t>Flight Week #4</t>
  </si>
  <si>
    <t>1/20 &amp; 1/27</t>
  </si>
  <si>
    <t>ID Card Geo Lift Test</t>
  </si>
  <si>
    <t>Paid Ads</t>
  </si>
  <si>
    <t>Results Validated</t>
  </si>
  <si>
    <t>Sending another letter to mandatory</t>
  </si>
  <si>
    <t>Mandatory Letter</t>
  </si>
  <si>
    <t>emt APRIL 22</t>
  </si>
  <si>
    <t>hOW SHOUDLd we share learnings for other deparments</t>
  </si>
  <si>
    <t>include grant on OB call team onto our calls</t>
  </si>
  <si>
    <t>gracie outbound calling</t>
  </si>
  <si>
    <t>when or if it makes sense to combine forces</t>
  </si>
  <si>
    <t xml:space="preserve">or clare from product member exp </t>
  </si>
  <si>
    <t>Results</t>
  </si>
  <si>
    <t>Paid Ads Performance Lift Test</t>
  </si>
  <si>
    <t>Deployed, results published</t>
  </si>
  <si>
    <r>
      <t xml:space="preserve">Estimated </t>
    </r>
    <r>
      <rPr>
        <sz val="11"/>
        <color rgb="FF301E04"/>
        <rFont val="Aptos"/>
        <family val="2"/>
      </rPr>
      <t>10–12% lift in member call rate performance compared to baseline. Vendor stated test met statistical significance.​ Paid digital ads can generate measurable incremental impact, should continue pending further testing.​</t>
    </r>
  </si>
  <si>
    <t>BOFU Reactivation Email Test</t>
  </si>
  <si>
    <t>Members lost mid-funnel</t>
  </si>
  <si>
    <t>BOFU emails achieved 26% open rate (1.5× higher than baseline) and a 0.44% case conversion rate per send (9× higher) versus general marketing emails, despite some source data gaps.​ Targeted BOFU reactivation emails outperform general marketing emails in engagement and downstream case creation and should continue to be practiced.​</t>
  </si>
  <si>
    <t>ID Card Design A/B Test</t>
  </si>
  <si>
    <r>
      <t xml:space="preserve">Both ID cards drove positive call lift despite overall seasonal decline, with the control (Z‑fold) version performing slightly </t>
    </r>
    <r>
      <rPr>
        <sz val="11"/>
        <color rgb="FF301E04"/>
        <rFont val="Aptos"/>
        <family val="2"/>
      </rPr>
      <t>better than the new white card (+0.60% vs. +0.51% lift).​ ID card mailers appear to generate incremental call engagement, but new design did not outperform the existing control and necessitates further testing before rollout.​</t>
    </r>
  </si>
  <si>
    <t>Mandatory / Voluntary ID Card Test:</t>
  </si>
  <si>
    <t>Count</t>
  </si>
  <si>
    <t>*</t>
  </si>
  <si>
    <t>State of Delaware</t>
  </si>
  <si>
    <t>Linde</t>
  </si>
  <si>
    <t>Michaels</t>
  </si>
  <si>
    <t>Core Mining (?)</t>
  </si>
  <si>
    <t>Insert/Lift Note/Both ABC Test</t>
  </si>
  <si>
    <t>Off-cycle NC Health Insurance Pool</t>
  </si>
  <si>
    <t>University of Delaware</t>
  </si>
  <si>
    <t>Freeman Company</t>
  </si>
  <si>
    <t>Archdiosese of Miami</t>
  </si>
  <si>
    <t>School District of Lee County</t>
  </si>
  <si>
    <t>Swagelok</t>
  </si>
  <si>
    <t>Lumexa Imaging</t>
  </si>
  <si>
    <t>Utz Quality Foods</t>
  </si>
  <si>
    <t>National Laboratory of the Rockies</t>
  </si>
  <si>
    <t>Noodles &amp;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</si>
</sst>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301E04"/>
      <name val="Aptos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"/>
      <family val="2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"/>
      <charset val="1"/>
    </font>
    <font>
      <sz val="11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5042"/>
        <bgColor indexed="64"/>
      </patternFill>
    </fill>
    <fill>
      <patternFill patternType="solid">
        <fgColor rgb="FFA6B9B3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6B9B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6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3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1" xfId="1" applyBorder="1" applyAlignment="1">
      <alignment vertical="center" wrapText="1"/>
    </xf>
    <xf numFmtId="14" fontId="0" fillId="0" borderId="0" xfId="0" applyNumberFormat="1" applyAlignment="1">
      <alignment vertical="center"/>
    </xf>
    <xf numFmtId="0" fontId="0" fillId="0" borderId="4" xfId="0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4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4" xfId="0" applyBorder="1"/>
    <xf numFmtId="0" fontId="0" fillId="0" borderId="5" xfId="0" applyBorder="1" applyAlignment="1">
      <alignment vertical="center" wrapText="1"/>
    </xf>
    <xf numFmtId="0" fontId="0" fillId="0" borderId="0" xfId="0" applyAlignment="1">
      <alignment horizontal="center" vertical="center"/>
    </xf>
    <xf numFmtId="16" fontId="0" fillId="0" borderId="1" xfId="0" applyNumberFormat="1" applyBorder="1" applyAlignment="1">
      <alignment horizontal="left" vertical="center"/>
    </xf>
    <xf numFmtId="3" fontId="0" fillId="0" borderId="4" xfId="0" applyNumberFormat="1" applyBorder="1"/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6" fillId="0" borderId="4" xfId="0" applyFont="1" applyBorder="1"/>
    <xf numFmtId="3" fontId="6" fillId="0" borderId="4" xfId="0" applyNumberFormat="1" applyFont="1" applyBorder="1"/>
    <xf numFmtId="0" fontId="0" fillId="0" borderId="6" xfId="0" applyBorder="1"/>
    <xf numFmtId="3" fontId="0" fillId="0" borderId="6" xfId="0" applyNumberFormat="1" applyBorder="1"/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/>
    </xf>
    <xf numFmtId="0" fontId="0" fillId="7" borderId="7" xfId="0" applyFill="1" applyBorder="1" applyAlignment="1">
      <alignment vertical="center"/>
    </xf>
    <xf numFmtId="0" fontId="0" fillId="7" borderId="7" xfId="0" applyFill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7" xfId="0" applyBorder="1"/>
    <xf numFmtId="0" fontId="0" fillId="7" borderId="1" xfId="0" applyFill="1" applyBorder="1" applyAlignment="1">
      <alignment horizontal="center" vertical="center" wrapText="1"/>
    </xf>
    <xf numFmtId="0" fontId="7" fillId="7" borderId="8" xfId="0" applyFont="1" applyFill="1" applyBorder="1" applyAlignment="1">
      <alignment wrapText="1"/>
    </xf>
    <xf numFmtId="0" fontId="0" fillId="7" borderId="5" xfId="0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8" fillId="7" borderId="8" xfId="0" applyFont="1" applyFill="1" applyBorder="1" applyAlignment="1">
      <alignment wrapText="1"/>
    </xf>
    <xf numFmtId="0" fontId="2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6B9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ocumenttasks/documenttask1.xml><?xml version="1.0" encoding="utf-8"?>
<Tasks xmlns="http://schemas.microsoft.com/office/tasks/2019/documenttasks">
  <Task id="{7C149215-9D6C-4114-B914-81332928714F}">
    <Anchor>
      <Comment id="{5E0FFFAF-A734-4257-B236-899D09285FA8}"/>
    </Anchor>
    <History>
      <Event time="2026-07-15T17:42:58.03" id="{EA58EE56-0823-4445-BAD6-D364A7DF2305}">
        <Attribution userId="S::jennifer.stroik@edhc.com::5018a2d8-e23e-4fd3-9dcb-2ac69a6cc77b" userName="Jennifer Stroik" userProvider="AD"/>
        <Anchor>
          <Comment id="{5E0FFFAF-A734-4257-B236-899D09285FA8}"/>
        </Anchor>
        <Create/>
      </Event>
      <Event time="2026-07-15T17:42:58.03" id="{4B2DEDA1-472C-4C76-98D3-984C45B8194F}">
        <Attribution userId="S::jennifer.stroik@edhc.com::5018a2d8-e23e-4fd3-9dcb-2ac69a6cc77b" userName="Jennifer Stroik" userProvider="AD"/>
        <Anchor>
          <Comment id="{5E0FFFAF-A734-4257-B236-899D09285FA8}"/>
        </Anchor>
        <Assign userId="S::jay.dugar@edhc.com::8bea763c-9bc8-4878-bb2c-89530b5ed8f5" userName="Jay Dugar" userProvider="AD"/>
      </Event>
      <Event time="2026-07-15T17:42:58.03" id="{8F876944-E915-47F0-BDB2-D3BC7F03092F}">
        <Attribution userId="S::jennifer.stroik@edhc.com::5018a2d8-e23e-4fd3-9dcb-2ac69a6cc77b" userName="Jennifer Stroik" userProvider="AD"/>
        <Anchor>
          <Comment id="{5E0FFFAF-A734-4257-B236-899D09285FA8}"/>
        </Anchor>
        <SetTitle title="@Jay Dugar do we need approval for this test?"/>
      </Event>
    </History>
  </Task>
  <Task id="{68468E57-8172-46FA-BCFA-36A7F20BCAA1}">
    <Anchor>
      <Comment id="{56196645-6C8A-49BB-9C19-D66035AEDE84}"/>
    </Anchor>
    <History>
      <Event time="2026-07-15T17:42:33.55" id="{3F1130DD-570E-4606-85CF-5B70796F51AE}">
        <Attribution userId="S::jennifer.stroik@edhc.com::5018a2d8-e23e-4fd3-9dcb-2ac69a6cc77b" userName="Jennifer Stroik" userProvider="AD"/>
        <Anchor>
          <Comment id="{56196645-6C8A-49BB-9C19-D66035AEDE84}"/>
        </Anchor>
        <Create/>
      </Event>
      <Event time="2026-07-15T17:42:33.55" id="{773B1714-C174-4B63-B87C-9BE3F185DD37}">
        <Attribution userId="S::jennifer.stroik@edhc.com::5018a2d8-e23e-4fd3-9dcb-2ac69a6cc77b" userName="Jennifer Stroik" userProvider="AD"/>
        <Anchor>
          <Comment id="{56196645-6C8A-49BB-9C19-D66035AEDE84}"/>
        </Anchor>
        <Assign userId="S::jay.dugar@edhc.com::8bea763c-9bc8-4878-bb2c-89530b5ed8f5" userName="Jay Dugar" userProvider="AD"/>
      </Event>
      <Event time="2026-07-15T17:42:33.55" id="{56AE5C5F-5AF1-44CD-8BFE-9C24101F8B6B}">
        <Attribution userId="S::jennifer.stroik@edhc.com::5018a2d8-e23e-4fd3-9dcb-2ac69a6cc77b" userName="Jennifer Stroik" userProvider="AD"/>
        <Anchor>
          <Comment id="{56196645-6C8A-49BB-9C19-D66035AEDE84}"/>
        </Anchor>
        <SetTitle title="@Jay Dugar is this just based on print timing?"/>
      </Event>
    </History>
  </Task>
  <Task id="{CD6644ED-A705-4052-8026-37865F103F9F}">
    <Anchor>
      <Comment id="{FAB1BE94-8239-4E87-B91A-686517E3FFDE}"/>
    </Anchor>
    <History>
      <Event time="2026-07-15T17:43:43.12" id="{65D1C10D-F403-4144-A6B3-59598AF54112}">
        <Attribution userId="S::jennifer.stroik@edhc.com::5018a2d8-e23e-4fd3-9dcb-2ac69a6cc77b" userName="Jennifer Stroik" userProvider="AD"/>
        <Anchor>
          <Comment id="{FAB1BE94-8239-4E87-B91A-686517E3FFDE}"/>
        </Anchor>
        <Create/>
      </Event>
      <Event time="2026-07-15T17:43:43.12" id="{3CC08DDE-3191-487B-9936-A52ED944FF2A}">
        <Attribution userId="S::jennifer.stroik@edhc.com::5018a2d8-e23e-4fd3-9dcb-2ac69a6cc77b" userName="Jennifer Stroik" userProvider="AD"/>
        <Anchor>
          <Comment id="{FAB1BE94-8239-4E87-B91A-686517E3FFDE}"/>
        </Anchor>
        <Assign userId="S::jay.dugar@edhc.com::8bea763c-9bc8-4878-bb2c-89530b5ed8f5" userName="Jay Dugar" userProvider="AD"/>
      </Event>
      <Event time="2026-07-15T17:43:43.12" id="{B24AE4B6-9E82-4D8D-8996-FC45DC44005B}">
        <Attribution userId="S::jennifer.stroik@edhc.com::5018a2d8-e23e-4fd3-9dcb-2ac69a6cc77b" userName="Jennifer Stroik" userProvider="AD"/>
        <Anchor>
          <Comment id="{FAB1BE94-8239-4E87-B91A-686517E3FFDE}"/>
        </Anchor>
        <SetTitle title="@Jay Dugar do we need client approval for this test or does that come after client selection?"/>
      </Event>
    </History>
  </Task>
  <Task id="{D77E96EF-971B-45B3-B555-BE5010EB1A47}">
    <Anchor>
      <Comment id="{D931E59D-6412-4B70-8196-61DBA79AB160}"/>
    </Anchor>
    <History>
      <Event time="2026-07-15T17:42:10.96" id="{79E81508-9349-4390-8633-F731AACC2A4A}">
        <Attribution userId="S::jennifer.stroik@edhc.com::5018a2d8-e23e-4fd3-9dcb-2ac69a6cc77b" userName="Jennifer Stroik" userProvider="AD"/>
        <Anchor>
          <Comment id="{D931E59D-6412-4B70-8196-61DBA79AB160}"/>
        </Anchor>
        <Create/>
      </Event>
      <Event time="2026-07-15T17:42:10.96" id="{F1DB2D57-FF4B-4F51-8740-9D8BAC00057A}">
        <Attribution userId="S::jennifer.stroik@edhc.com::5018a2d8-e23e-4fd3-9dcb-2ac69a6cc77b" userName="Jennifer Stroik" userProvider="AD"/>
        <Anchor>
          <Comment id="{D931E59D-6412-4B70-8196-61DBA79AB160}"/>
        </Anchor>
        <Assign userId="S::jay.dugar@edhc.com::8bea763c-9bc8-4878-bb2c-89530b5ed8f5" userName="Jay Dugar" userProvider="AD"/>
      </Event>
      <Event time="2026-07-15T17:42:10.96" id="{AD0E0EC5-238F-4D33-AEEC-0DA0DF5D3D9C}">
        <Attribution userId="S::jennifer.stroik@edhc.com::5018a2d8-e23e-4fd3-9dcb-2ac69a6cc77b" userName="Jennifer Stroik" userProvider="AD"/>
        <Anchor>
          <Comment id="{D931E59D-6412-4B70-8196-61DBA79AB160}"/>
        </Anchor>
        <SetTitle title="@Jay Dugar - CTA selections have been provided, correct? Are clients still needing to be selected? 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Jay Dugar" id="{AC8237A2-B82B-405D-B046-0E9465611689}" userId="jay.dugar@edhc.com" providerId="PeoplePicker"/>
  <person displayName="Jay Dugar" id="{7512FFBF-FBCC-4D71-9316-4F8D85277E53}" userId="S::jay.dugar@edhc.com::8bea763c-9bc8-4878-bb2c-89530b5ed8f5" providerId="AD"/>
  <person displayName="Jennifer Stroik" id="{FC1C7AF7-F50B-402C-9033-3722403DDBA6}" userId="S::jennifer.stroik@edhc.com::5018a2d8-e23e-4fd3-9dcb-2ac69a6cc77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6-07-15T17:42:33.55" personId="{FC1C7AF7-F50B-402C-9033-3722403DDBA6}" id="{56196645-6C8A-49BB-9C19-D66035AEDE84}">
    <text>@Jay Dugar is this just based on print timing?</text>
    <mentions>
      <mention mentionpersonId="{AC8237A2-B82B-405D-B046-0E9465611689}" mentionId="{48726851-A2AE-4DF9-84BA-8465F41A96B5}" startIndex="0" length="10"/>
    </mentions>
  </threadedComment>
  <threadedComment ref="J6" dT="2026-07-15T17:42:58.03" personId="{FC1C7AF7-F50B-402C-9033-3722403DDBA6}" id="{5E0FFFAF-A734-4257-B236-899D09285FA8}">
    <text>@Jay Dugar do we need approval for this test?</text>
    <mentions>
      <mention mentionpersonId="{AC8237A2-B82B-405D-B046-0E9465611689}" mentionId="{95C065D6-4C76-48D7-87D4-8C6CC0B0E059}" startIndex="0" length="10"/>
    </mentions>
  </threadedComment>
  <threadedComment ref="I7" dT="2026-07-15T17:42:10.96" personId="{FC1C7AF7-F50B-402C-9033-3722403DDBA6}" id="{D931E59D-6412-4B70-8196-61DBA79AB160}">
    <text xml:space="preserve">@Jay Dugar - CTA selections have been provided, correct? Are clients still needing to be selected? </text>
    <mentions>
      <mention mentionpersonId="{AC8237A2-B82B-405D-B046-0E9465611689}" mentionId="{67450D91-EA71-41C7-86F8-07213F776082}" startIndex="0" length="10"/>
    </mentions>
  </threadedComment>
  <threadedComment ref="I7" dT="2026-07-15T20:24:58.13" personId="{7512FFBF-FBCC-4D71-9316-4F8D85277E53}" id="{D05C84F7-091E-4164-94B9-03CF20C21652}" parentId="{D931E59D-6412-4B70-8196-61DBA79AB160}">
    <text>I have the bank - wasn’t sure if we were going to test all of them, or just a selection from what was provided. Your call, just let me know!
And yes, clients are still to be selected</text>
  </threadedComment>
  <threadedComment ref="J8" dT="2026-07-15T17:43:43.12" personId="{FC1C7AF7-F50B-402C-9033-3722403DDBA6}" id="{FAB1BE94-8239-4E87-B91A-686517E3FFDE}">
    <text>@Jay Dugar do we need client approval for this test or does that come after client selection?</text>
    <mentions>
      <mention mentionpersonId="{AC8237A2-B82B-405D-B046-0E9465611689}" mentionId="{347F3E71-C3A7-4DA5-995E-E7C260799026}" startIndex="0" length="10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dh-marketing.monday.com/boards/18016510831/pulses/10873332802?term=tyso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5FC4-C1C2-4010-BE42-4520DBF10286}">
  <dimension ref="B2:N91"/>
  <sheetViews>
    <sheetView tabSelected="1" workbookViewId="0">
      <selection activeCell="C12" sqref="C12"/>
    </sheetView>
  </sheetViews>
  <sheetFormatPr defaultColWidth="9" defaultRowHeight="14.45"/>
  <cols>
    <col min="1" max="1" width="3.5703125" style="2" customWidth="1"/>
    <col min="2" max="2" width="5.140625" style="2" customWidth="1"/>
    <col min="3" max="3" width="31.42578125" style="1" customWidth="1"/>
    <col min="4" max="4" width="41.140625" style="1" customWidth="1"/>
    <col min="5" max="5" width="13.28515625" style="2" customWidth="1"/>
    <col min="6" max="6" width="13" style="2" customWidth="1"/>
    <col min="7" max="7" width="9.28515625" style="2" customWidth="1"/>
    <col min="8" max="8" width="9.7109375" style="2" customWidth="1"/>
    <col min="9" max="9" width="20.42578125" style="2" customWidth="1"/>
    <col min="10" max="10" width="21.140625" style="2" customWidth="1"/>
    <col min="11" max="11" width="24.140625" style="2" customWidth="1"/>
    <col min="12" max="12" width="26.5703125" style="2" customWidth="1"/>
    <col min="13" max="13" width="44.28515625" style="2" customWidth="1"/>
    <col min="14" max="14" width="22.85546875" style="2" customWidth="1"/>
    <col min="15" max="16384" width="9" style="2"/>
  </cols>
  <sheetData>
    <row r="2" spans="2:14">
      <c r="B2" s="3"/>
      <c r="C2" s="3"/>
      <c r="D2" s="3"/>
      <c r="E2" s="3"/>
      <c r="F2" s="3"/>
      <c r="G2" s="56" t="s">
        <v>0</v>
      </c>
      <c r="H2" s="56"/>
      <c r="I2" s="3"/>
      <c r="J2" s="3"/>
      <c r="K2" s="3"/>
      <c r="L2" s="3"/>
      <c r="M2" s="3"/>
      <c r="N2" s="3"/>
    </row>
    <row r="3" spans="2:14" ht="29.1">
      <c r="B3" s="3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</row>
    <row r="4" spans="2:14" ht="15.6" customHeight="1">
      <c r="B4" s="53">
        <v>1</v>
      </c>
      <c r="C4" s="53" t="s">
        <v>13</v>
      </c>
      <c r="D4" s="4"/>
      <c r="E4" s="8" t="s">
        <v>14</v>
      </c>
      <c r="F4" s="8" t="s">
        <v>15</v>
      </c>
      <c r="G4" s="8"/>
      <c r="H4" s="8"/>
      <c r="I4" s="8"/>
      <c r="J4" s="8"/>
      <c r="K4" s="8"/>
      <c r="L4" s="8"/>
      <c r="M4" s="47"/>
      <c r="N4" s="24"/>
    </row>
    <row r="5" spans="2:14" ht="16.5" customHeight="1">
      <c r="B5" s="54">
        <v>2</v>
      </c>
      <c r="C5" s="54" t="s">
        <v>16</v>
      </c>
      <c r="D5" s="43"/>
      <c r="E5" s="44" t="s">
        <v>14</v>
      </c>
      <c r="F5" s="44" t="s">
        <v>15</v>
      </c>
      <c r="G5" s="44"/>
      <c r="H5" s="44"/>
      <c r="I5" s="43"/>
      <c r="J5" s="44"/>
      <c r="K5" s="44"/>
      <c r="L5" s="44"/>
      <c r="M5" s="43" t="s">
        <v>17</v>
      </c>
      <c r="N5" s="45"/>
    </row>
    <row r="6" spans="2:14" ht="15" customHeight="1">
      <c r="B6" s="53">
        <v>3</v>
      </c>
      <c r="C6" s="53" t="s">
        <v>18</v>
      </c>
      <c r="D6" s="9"/>
      <c r="E6" s="8" t="s">
        <v>14</v>
      </c>
      <c r="F6" s="8" t="s">
        <v>15</v>
      </c>
      <c r="G6" s="8"/>
      <c r="H6" s="8"/>
      <c r="I6" s="9"/>
      <c r="J6" s="8"/>
      <c r="K6" s="8"/>
      <c r="L6" s="8"/>
      <c r="M6" s="31"/>
      <c r="N6" s="7"/>
    </row>
    <row r="7" spans="2:14" ht="18" customHeight="1">
      <c r="B7" s="54">
        <v>4</v>
      </c>
      <c r="C7" s="54" t="s">
        <v>19</v>
      </c>
      <c r="D7" s="43"/>
      <c r="E7" s="44" t="s">
        <v>14</v>
      </c>
      <c r="F7" s="44" t="s">
        <v>15</v>
      </c>
      <c r="G7" s="44"/>
      <c r="H7" s="44"/>
      <c r="I7" s="43"/>
      <c r="J7" s="44"/>
      <c r="K7" s="44"/>
      <c r="L7" s="44"/>
      <c r="M7" s="50"/>
      <c r="N7" s="51"/>
    </row>
    <row r="8" spans="2:14" ht="18" customHeight="1">
      <c r="B8" s="53">
        <v>5</v>
      </c>
      <c r="C8" s="53" t="s">
        <v>20</v>
      </c>
      <c r="D8" s="9"/>
      <c r="E8" s="8" t="s">
        <v>14</v>
      </c>
      <c r="F8" s="8" t="s">
        <v>15</v>
      </c>
      <c r="G8" s="8"/>
      <c r="H8" s="13"/>
      <c r="I8" s="9"/>
      <c r="J8" s="8"/>
      <c r="K8" s="8"/>
      <c r="L8" s="8"/>
      <c r="M8" s="48" t="s">
        <v>21</v>
      </c>
      <c r="N8" s="33"/>
    </row>
    <row r="9" spans="2:14" ht="18" customHeight="1">
      <c r="B9" s="54">
        <v>6</v>
      </c>
      <c r="C9" s="54" t="s">
        <v>22</v>
      </c>
      <c r="D9" s="43"/>
      <c r="E9" s="44" t="s">
        <v>23</v>
      </c>
      <c r="F9" s="44" t="s">
        <v>15</v>
      </c>
      <c r="G9" s="44"/>
      <c r="H9" s="44"/>
      <c r="I9" s="43"/>
      <c r="J9" s="44"/>
      <c r="K9" s="44"/>
      <c r="L9" s="44"/>
      <c r="M9" s="55"/>
      <c r="N9" s="51"/>
    </row>
    <row r="10" spans="2:14" ht="17.45" customHeight="1">
      <c r="B10" s="52"/>
      <c r="C10" s="2"/>
    </row>
    <row r="11" spans="2:14" ht="15" customHeight="1">
      <c r="C11" s="2"/>
    </row>
    <row r="12" spans="2:14" ht="15" customHeight="1">
      <c r="C12" s="10"/>
      <c r="G12" s="23"/>
    </row>
    <row r="16" spans="2:14" ht="15" customHeight="1">
      <c r="C16" s="10"/>
    </row>
    <row r="18" spans="5:13" s="1" customFormat="1" ht="15" customHeight="1">
      <c r="E18" s="2"/>
      <c r="F18" s="2"/>
      <c r="G18" s="2"/>
      <c r="H18" s="2"/>
      <c r="I18" s="2"/>
      <c r="J18" s="2"/>
      <c r="K18" s="2"/>
      <c r="L18" s="2"/>
      <c r="M18" s="2"/>
    </row>
    <row r="22" spans="5:13" s="1" customFormat="1" ht="15" customHeight="1">
      <c r="E22" s="2"/>
      <c r="F22" s="2"/>
      <c r="G22" s="2"/>
      <c r="H22" s="2"/>
      <c r="I22" s="2"/>
      <c r="J22" s="2"/>
      <c r="K22" s="2"/>
      <c r="L22" s="2"/>
      <c r="M22" s="2"/>
    </row>
    <row r="23" spans="5:13" s="1" customFormat="1" ht="15" customHeight="1">
      <c r="E23" s="2"/>
      <c r="F23" s="2"/>
      <c r="G23" s="2"/>
      <c r="H23" s="2"/>
      <c r="I23" s="2"/>
      <c r="J23" s="2"/>
      <c r="K23" s="2"/>
      <c r="L23" s="2"/>
      <c r="M23" s="2"/>
    </row>
    <row r="24" spans="5:13" s="1" customFormat="1" ht="15" customHeight="1">
      <c r="E24" s="2"/>
      <c r="F24" s="2"/>
      <c r="G24" s="2"/>
      <c r="H24" s="2"/>
      <c r="I24" s="2"/>
      <c r="J24" s="2"/>
      <c r="K24" s="2"/>
      <c r="L24" s="2"/>
      <c r="M24" s="2"/>
    </row>
    <row r="25" spans="5:13" s="1" customFormat="1" ht="15" customHeight="1">
      <c r="E25" s="2"/>
      <c r="F25" s="2"/>
      <c r="G25" s="2"/>
      <c r="H25" s="2"/>
      <c r="I25" s="2"/>
      <c r="J25" s="2"/>
      <c r="K25" s="2"/>
      <c r="L25" s="2"/>
      <c r="M25" s="2"/>
    </row>
    <row r="26" spans="5:13" s="1" customFormat="1" ht="15" customHeight="1">
      <c r="E26" s="2"/>
      <c r="F26" s="2"/>
      <c r="G26" s="2"/>
      <c r="H26" s="2"/>
      <c r="I26" s="2"/>
      <c r="J26" s="2"/>
      <c r="K26" s="2"/>
      <c r="L26" s="2"/>
      <c r="M26" s="2"/>
    </row>
    <row r="27" spans="5:13" s="1" customFormat="1" ht="15" customHeight="1">
      <c r="E27" s="2"/>
      <c r="F27" s="2"/>
      <c r="G27" s="2"/>
      <c r="H27" s="2"/>
      <c r="I27" s="2"/>
      <c r="J27" s="2"/>
      <c r="K27" s="2"/>
      <c r="L27" s="2"/>
      <c r="M27" s="2"/>
    </row>
    <row r="91" spans="5:13" s="1" customFormat="1" ht="15" customHeight="1">
      <c r="E91" s="2"/>
      <c r="F91" s="2"/>
      <c r="G91" s="2"/>
      <c r="H91" s="2"/>
      <c r="I91" s="2"/>
      <c r="J91" s="2"/>
      <c r="K91" s="2"/>
      <c r="L91" s="2"/>
      <c r="M91" s="2"/>
    </row>
  </sheetData>
  <mergeCells count="1">
    <mergeCell ref="G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1E0D-D438-479C-B6AF-A9DBB13DEF26}">
  <dimension ref="A1:N91"/>
  <sheetViews>
    <sheetView showGridLines="0" zoomScale="60" zoomScaleNormal="60" workbookViewId="0">
      <pane ySplit="3" topLeftCell="A4" activePane="bottomLeft" state="frozen"/>
      <selection pane="bottomLeft" sqref="A1:XFD1048576"/>
    </sheetView>
  </sheetViews>
  <sheetFormatPr defaultColWidth="9" defaultRowHeight="15" customHeight="1"/>
  <cols>
    <col min="1" max="1" width="16.5703125" style="2" bestFit="1" customWidth="1"/>
    <col min="2" max="2" width="13" style="2" customWidth="1"/>
    <col min="3" max="3" width="26.42578125" style="1" customWidth="1"/>
    <col min="4" max="4" width="41.140625" style="1" customWidth="1"/>
    <col min="5" max="5" width="13.28515625" style="2" customWidth="1"/>
    <col min="6" max="8" width="13" style="2" customWidth="1"/>
    <col min="9" max="9" width="44.7109375" style="2" customWidth="1"/>
    <col min="10" max="10" width="33.42578125" style="2" customWidth="1"/>
    <col min="11" max="11" width="24.140625" style="2" customWidth="1"/>
    <col min="12" max="12" width="26.5703125" style="2" customWidth="1"/>
    <col min="13" max="13" width="44.28515625" style="2" customWidth="1"/>
    <col min="14" max="14" width="22.85546875" style="2" customWidth="1"/>
    <col min="15" max="16384" width="9" style="2"/>
  </cols>
  <sheetData>
    <row r="1" spans="1:14" ht="14.45"/>
    <row r="2" spans="1:14" ht="14.45">
      <c r="B2" s="3"/>
      <c r="C2" s="3"/>
      <c r="D2" s="3"/>
      <c r="E2" s="3"/>
      <c r="F2" s="3"/>
      <c r="G2" s="56" t="s">
        <v>0</v>
      </c>
      <c r="H2" s="56"/>
      <c r="I2" s="3"/>
      <c r="J2" s="3"/>
      <c r="K2" s="3"/>
      <c r="L2" s="3"/>
      <c r="M2" s="3"/>
      <c r="N2" s="3"/>
    </row>
    <row r="3" spans="1:14" ht="29.1">
      <c r="B3" s="3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</row>
    <row r="4" spans="1:14" ht="30" customHeight="1">
      <c r="A4" s="2" t="s">
        <v>24</v>
      </c>
      <c r="B4" s="30">
        <v>1</v>
      </c>
      <c r="C4" s="8" t="s">
        <v>25</v>
      </c>
      <c r="D4" s="4" t="s">
        <v>26</v>
      </c>
      <c r="E4" s="8" t="s">
        <v>27</v>
      </c>
      <c r="F4" s="8" t="s">
        <v>28</v>
      </c>
      <c r="G4" s="8"/>
      <c r="H4" s="8"/>
      <c r="I4" s="8" t="s">
        <v>29</v>
      </c>
      <c r="J4" s="8" t="s">
        <v>30</v>
      </c>
      <c r="K4" s="8"/>
      <c r="L4" s="8"/>
      <c r="M4" s="47"/>
      <c r="N4" s="24"/>
    </row>
    <row r="5" spans="1:14" ht="30" customHeight="1">
      <c r="B5" s="49">
        <v>2</v>
      </c>
      <c r="C5" s="43" t="s">
        <v>31</v>
      </c>
      <c r="D5" s="43" t="s">
        <v>32</v>
      </c>
      <c r="E5" s="44" t="s">
        <v>27</v>
      </c>
      <c r="F5" s="44" t="s">
        <v>28</v>
      </c>
      <c r="G5" s="44"/>
      <c r="H5" s="44"/>
      <c r="I5" s="43" t="s">
        <v>33</v>
      </c>
      <c r="J5" s="44" t="s">
        <v>34</v>
      </c>
      <c r="K5" s="44"/>
      <c r="L5" s="44"/>
      <c r="M5" s="46" t="s">
        <v>35</v>
      </c>
      <c r="N5" s="45"/>
    </row>
    <row r="6" spans="1:14" ht="30" customHeight="1">
      <c r="B6" s="30">
        <v>3</v>
      </c>
      <c r="C6" s="9" t="s">
        <v>36</v>
      </c>
      <c r="D6" s="9" t="s">
        <v>37</v>
      </c>
      <c r="E6" s="8" t="s">
        <v>14</v>
      </c>
      <c r="F6" s="8" t="s">
        <v>28</v>
      </c>
      <c r="G6" s="8"/>
      <c r="H6" s="8"/>
      <c r="I6" s="9" t="s">
        <v>29</v>
      </c>
      <c r="J6" s="8"/>
      <c r="K6" s="8"/>
      <c r="L6" s="8"/>
      <c r="M6" s="31"/>
      <c r="N6" s="7" t="s">
        <v>38</v>
      </c>
    </row>
    <row r="7" spans="1:14" ht="35.450000000000003" customHeight="1">
      <c r="B7" s="49">
        <v>4</v>
      </c>
      <c r="C7" s="43" t="s">
        <v>39</v>
      </c>
      <c r="D7" s="43" t="s">
        <v>37</v>
      </c>
      <c r="E7" s="44" t="s">
        <v>14</v>
      </c>
      <c r="F7" s="44" t="s">
        <v>28</v>
      </c>
      <c r="G7" s="44"/>
      <c r="H7" s="44"/>
      <c r="I7" s="43" t="s">
        <v>40</v>
      </c>
      <c r="J7" s="44"/>
      <c r="K7" s="44"/>
      <c r="L7" s="44"/>
      <c r="M7" s="50" t="s">
        <v>41</v>
      </c>
      <c r="N7" s="51" t="s">
        <v>38</v>
      </c>
    </row>
    <row r="8" spans="1:14" ht="30" customHeight="1">
      <c r="B8" s="30">
        <v>5</v>
      </c>
      <c r="C8" s="9" t="s">
        <v>31</v>
      </c>
      <c r="D8" s="9" t="s">
        <v>37</v>
      </c>
      <c r="E8" s="8" t="s">
        <v>14</v>
      </c>
      <c r="F8" s="8" t="s">
        <v>28</v>
      </c>
      <c r="G8" s="8"/>
      <c r="H8" s="13"/>
      <c r="I8" s="9" t="s">
        <v>29</v>
      </c>
      <c r="J8" s="8"/>
      <c r="K8" s="8"/>
      <c r="L8" s="8"/>
      <c r="M8" s="48" t="s">
        <v>42</v>
      </c>
      <c r="N8" s="33" t="s">
        <v>43</v>
      </c>
    </row>
    <row r="10" spans="1:14" ht="17.45" customHeight="1">
      <c r="B10" s="52" t="s">
        <v>44</v>
      </c>
      <c r="C10" s="2" t="s">
        <v>45</v>
      </c>
    </row>
    <row r="11" spans="1:14" ht="15" customHeight="1">
      <c r="C11" s="2" t="s">
        <v>46</v>
      </c>
    </row>
    <row r="12" spans="1:14" ht="15" customHeight="1">
      <c r="C12" s="10"/>
      <c r="G12" s="23"/>
    </row>
    <row r="16" spans="1:14" ht="15" customHeight="1">
      <c r="C16" s="10"/>
    </row>
    <row r="18" spans="5:13" s="1" customFormat="1" ht="15" customHeight="1">
      <c r="E18" s="2"/>
      <c r="F18" s="2"/>
      <c r="G18" s="2"/>
      <c r="H18" s="2"/>
      <c r="I18" s="2"/>
      <c r="J18" s="2"/>
      <c r="K18" s="2"/>
      <c r="L18" s="2"/>
      <c r="M18" s="2"/>
    </row>
    <row r="22" spans="5:13" s="1" customFormat="1" ht="15" customHeight="1">
      <c r="E22" s="2"/>
      <c r="F22" s="2"/>
      <c r="G22" s="2"/>
      <c r="H22" s="2"/>
      <c r="I22" s="2"/>
      <c r="J22" s="2"/>
      <c r="K22" s="2"/>
      <c r="L22" s="2"/>
      <c r="M22" s="2"/>
    </row>
    <row r="23" spans="5:13" s="1" customFormat="1" ht="15" customHeight="1">
      <c r="E23" s="2"/>
      <c r="F23" s="2"/>
      <c r="G23" s="2"/>
      <c r="H23" s="2"/>
      <c r="I23" s="2"/>
      <c r="J23" s="2"/>
      <c r="K23" s="2"/>
      <c r="L23" s="2"/>
      <c r="M23" s="2"/>
    </row>
    <row r="24" spans="5:13" s="1" customFormat="1" ht="15" customHeight="1">
      <c r="E24" s="2"/>
      <c r="F24" s="2"/>
      <c r="G24" s="2"/>
      <c r="H24" s="2"/>
      <c r="I24" s="2"/>
      <c r="J24" s="2"/>
      <c r="K24" s="2"/>
      <c r="L24" s="2"/>
      <c r="M24" s="2"/>
    </row>
    <row r="25" spans="5:13" s="1" customFormat="1" ht="15" customHeight="1">
      <c r="E25" s="2"/>
      <c r="F25" s="2"/>
      <c r="G25" s="2"/>
      <c r="H25" s="2"/>
      <c r="I25" s="2"/>
      <c r="J25" s="2"/>
      <c r="K25" s="2"/>
      <c r="L25" s="2"/>
      <c r="M25" s="2"/>
    </row>
    <row r="26" spans="5:13" s="1" customFormat="1" ht="15" customHeight="1">
      <c r="E26" s="2"/>
      <c r="F26" s="2"/>
      <c r="G26" s="2"/>
      <c r="H26" s="2"/>
      <c r="I26" s="2"/>
      <c r="J26" s="2"/>
      <c r="K26" s="2"/>
      <c r="L26" s="2"/>
      <c r="M26" s="2"/>
    </row>
    <row r="27" spans="5:13" s="1" customFormat="1" ht="15" customHeight="1">
      <c r="E27" s="2"/>
      <c r="F27" s="2"/>
      <c r="G27" s="2"/>
      <c r="H27" s="2"/>
      <c r="I27" s="2"/>
      <c r="J27" s="2"/>
      <c r="K27" s="2"/>
      <c r="L27" s="2"/>
      <c r="M27" s="2"/>
    </row>
    <row r="91" spans="5:13" s="1" customFormat="1" ht="15" customHeight="1">
      <c r="E91" s="2"/>
      <c r="F91" s="2"/>
      <c r="G91" s="2"/>
      <c r="H91" s="2"/>
      <c r="I91" s="2"/>
      <c r="J91" s="2"/>
      <c r="K91" s="2"/>
      <c r="L91" s="2"/>
      <c r="M91" s="2"/>
    </row>
  </sheetData>
  <autoFilter ref="C3:M3" xr:uid="{16998BAB-82A0-4C83-879B-8E2DC6F4B3A1}"/>
  <mergeCells count="1">
    <mergeCell ref="G2:H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6D99-2211-43A0-82E4-02F42D4DB551}">
  <dimension ref="A1:M98"/>
  <sheetViews>
    <sheetView showGridLines="0" zoomScale="59" workbookViewId="0">
      <pane ySplit="3" topLeftCell="A4" activePane="bottomLeft" state="frozen"/>
      <selection pane="bottomLeft" activeCell="B7" sqref="B7"/>
    </sheetView>
  </sheetViews>
  <sheetFormatPr defaultColWidth="9" defaultRowHeight="15" customHeight="1"/>
  <cols>
    <col min="1" max="1" width="9" style="2"/>
    <col min="2" max="2" width="10.7109375" style="2" bestFit="1" customWidth="1"/>
    <col min="3" max="3" width="13" style="2" customWidth="1"/>
    <col min="4" max="4" width="47.85546875" style="1" customWidth="1"/>
    <col min="5" max="5" width="41.140625" style="1" customWidth="1"/>
    <col min="6" max="6" width="13.28515625" style="2" customWidth="1"/>
    <col min="7" max="9" width="13" style="2" customWidth="1"/>
    <col min="10" max="10" width="29.140625" style="2" customWidth="1"/>
    <col min="11" max="11" width="33.42578125" style="2" customWidth="1"/>
    <col min="12" max="12" width="112.42578125" style="2" customWidth="1"/>
    <col min="13" max="13" width="27.7109375" style="2" customWidth="1"/>
    <col min="14" max="16384" width="9" style="2"/>
  </cols>
  <sheetData>
    <row r="1" spans="1:13" ht="14.45"/>
    <row r="2" spans="1:13" ht="14.45">
      <c r="C2" s="3"/>
      <c r="D2" s="3"/>
      <c r="E2" s="3"/>
      <c r="F2" s="3"/>
      <c r="G2" s="3"/>
      <c r="H2" s="56" t="s">
        <v>0</v>
      </c>
      <c r="I2" s="56"/>
      <c r="J2" s="3"/>
      <c r="K2" s="3"/>
      <c r="L2" s="3"/>
      <c r="M2" s="3"/>
    </row>
    <row r="3" spans="1:13" ht="14.45">
      <c r="A3" s="2" t="s">
        <v>47</v>
      </c>
      <c r="B3" s="2" t="s">
        <v>48</v>
      </c>
      <c r="C3" s="3" t="s">
        <v>49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11</v>
      </c>
      <c r="M3" s="3" t="s">
        <v>12</v>
      </c>
    </row>
    <row r="4" spans="1:13" ht="30" customHeight="1">
      <c r="A4" s="2" t="s">
        <v>50</v>
      </c>
      <c r="B4" s="2" t="s">
        <v>50</v>
      </c>
      <c r="C4" s="21">
        <v>1</v>
      </c>
      <c r="D4" s="9" t="s">
        <v>51</v>
      </c>
      <c r="E4" s="9" t="s">
        <v>52</v>
      </c>
      <c r="F4" s="8" t="s">
        <v>14</v>
      </c>
      <c r="G4" s="8" t="s">
        <v>53</v>
      </c>
      <c r="H4" s="8" t="s">
        <v>54</v>
      </c>
      <c r="I4" s="8" t="s">
        <v>55</v>
      </c>
      <c r="J4" s="9" t="s">
        <v>47</v>
      </c>
      <c r="K4" s="8" t="s">
        <v>56</v>
      </c>
      <c r="L4" s="8" t="s">
        <v>57</v>
      </c>
      <c r="M4" s="8" t="s">
        <v>38</v>
      </c>
    </row>
    <row r="5" spans="1:13" ht="30" customHeight="1">
      <c r="A5" s="2" t="s">
        <v>50</v>
      </c>
      <c r="B5" s="2" t="s">
        <v>50</v>
      </c>
      <c r="C5" s="21">
        <v>2</v>
      </c>
      <c r="D5" s="9" t="s">
        <v>58</v>
      </c>
      <c r="E5" s="9" t="s">
        <v>59</v>
      </c>
      <c r="F5" s="8" t="s">
        <v>14</v>
      </c>
      <c r="G5" s="8" t="s">
        <v>53</v>
      </c>
      <c r="H5" s="8" t="s">
        <v>54</v>
      </c>
      <c r="I5" s="8" t="s">
        <v>55</v>
      </c>
      <c r="J5" s="9" t="s">
        <v>47</v>
      </c>
      <c r="K5" s="8" t="s">
        <v>56</v>
      </c>
      <c r="L5" s="8" t="s">
        <v>60</v>
      </c>
      <c r="M5" s="8" t="s">
        <v>38</v>
      </c>
    </row>
    <row r="6" spans="1:13" ht="30" customHeight="1">
      <c r="A6" s="2" t="s">
        <v>50</v>
      </c>
      <c r="B6" s="2" t="s">
        <v>50</v>
      </c>
      <c r="C6" s="21">
        <v>3</v>
      </c>
      <c r="D6" s="9" t="s">
        <v>61</v>
      </c>
      <c r="E6" s="9" t="s">
        <v>62</v>
      </c>
      <c r="F6" s="8" t="s">
        <v>14</v>
      </c>
      <c r="G6" s="8" t="s">
        <v>53</v>
      </c>
      <c r="H6" s="8" t="s">
        <v>63</v>
      </c>
      <c r="I6" s="13">
        <v>46135</v>
      </c>
      <c r="J6" s="9" t="s">
        <v>47</v>
      </c>
      <c r="K6" s="8" t="s">
        <v>64</v>
      </c>
      <c r="L6" s="9" t="s">
        <v>65</v>
      </c>
      <c r="M6" s="9" t="s">
        <v>43</v>
      </c>
    </row>
    <row r="7" spans="1:13" ht="30" customHeight="1">
      <c r="A7" s="2" t="s">
        <v>50</v>
      </c>
      <c r="B7" s="2" t="s">
        <v>66</v>
      </c>
      <c r="C7" s="21">
        <v>4</v>
      </c>
      <c r="D7" s="9" t="s">
        <v>67</v>
      </c>
      <c r="E7" s="9" t="s">
        <v>68</v>
      </c>
      <c r="F7" s="8" t="s">
        <v>14</v>
      </c>
      <c r="G7" s="8" t="s">
        <v>53</v>
      </c>
      <c r="H7" s="13">
        <v>46148</v>
      </c>
      <c r="I7" s="35">
        <f>H7+28</f>
        <v>46176</v>
      </c>
      <c r="J7" s="9" t="s">
        <v>69</v>
      </c>
      <c r="K7" s="8"/>
      <c r="L7" s="2" t="s">
        <v>70</v>
      </c>
      <c r="M7" s="22" t="s">
        <v>71</v>
      </c>
    </row>
    <row r="8" spans="1:13" ht="30" customHeight="1">
      <c r="A8" s="2" t="s">
        <v>50</v>
      </c>
      <c r="B8" s="2" t="s">
        <v>66</v>
      </c>
      <c r="C8" s="21">
        <v>5</v>
      </c>
      <c r="D8" s="9" t="s">
        <v>72</v>
      </c>
      <c r="E8" s="9" t="s">
        <v>73</v>
      </c>
      <c r="F8" s="8" t="s">
        <v>74</v>
      </c>
      <c r="G8" s="8" t="s">
        <v>53</v>
      </c>
      <c r="H8" s="13">
        <v>46082</v>
      </c>
      <c r="I8" s="8" t="s">
        <v>75</v>
      </c>
      <c r="J8" s="8" t="s">
        <v>76</v>
      </c>
      <c r="K8" s="9" t="s">
        <v>77</v>
      </c>
      <c r="L8" s="9" t="s">
        <v>78</v>
      </c>
      <c r="M8" s="9" t="s">
        <v>79</v>
      </c>
    </row>
    <row r="9" spans="1:13" ht="30" customHeight="1">
      <c r="A9" s="2" t="s">
        <v>50</v>
      </c>
      <c r="B9" s="2" t="s">
        <v>66</v>
      </c>
      <c r="C9" s="21">
        <v>6</v>
      </c>
      <c r="D9" s="9" t="s">
        <v>80</v>
      </c>
      <c r="E9" s="9" t="s">
        <v>81</v>
      </c>
      <c r="F9" s="8" t="s">
        <v>82</v>
      </c>
      <c r="G9" s="8" t="s">
        <v>53</v>
      </c>
      <c r="H9" s="8" t="s">
        <v>54</v>
      </c>
      <c r="I9" s="8" t="s">
        <v>83</v>
      </c>
      <c r="J9" s="9" t="s">
        <v>84</v>
      </c>
      <c r="K9" s="9" t="s">
        <v>85</v>
      </c>
      <c r="L9" s="9" t="s">
        <v>86</v>
      </c>
      <c r="M9" s="9" t="s">
        <v>87</v>
      </c>
    </row>
    <row r="10" spans="1:13" ht="30" customHeight="1">
      <c r="A10" s="2" t="s">
        <v>50</v>
      </c>
      <c r="B10" s="2" t="s">
        <v>66</v>
      </c>
      <c r="C10" s="21">
        <v>7</v>
      </c>
      <c r="D10" s="9" t="s">
        <v>88</v>
      </c>
      <c r="E10" s="9" t="s">
        <v>89</v>
      </c>
      <c r="F10" s="8" t="s">
        <v>23</v>
      </c>
      <c r="G10" s="8" t="s">
        <v>53</v>
      </c>
      <c r="H10" s="8" t="s">
        <v>90</v>
      </c>
      <c r="I10" s="8" t="s">
        <v>91</v>
      </c>
      <c r="J10" s="8" t="s">
        <v>69</v>
      </c>
      <c r="K10" s="8" t="s">
        <v>92</v>
      </c>
      <c r="L10" s="8" t="s">
        <v>93</v>
      </c>
      <c r="M10" s="8" t="s">
        <v>94</v>
      </c>
    </row>
    <row r="11" spans="1:13" ht="30" customHeight="1">
      <c r="A11" s="2" t="s">
        <v>50</v>
      </c>
      <c r="B11" s="2" t="s">
        <v>66</v>
      </c>
      <c r="C11" s="21">
        <v>8</v>
      </c>
      <c r="D11" s="9" t="s">
        <v>95</v>
      </c>
      <c r="E11" s="9" t="s">
        <v>96</v>
      </c>
      <c r="F11" s="8" t="s">
        <v>23</v>
      </c>
      <c r="G11" s="8" t="s">
        <v>53</v>
      </c>
      <c r="H11" s="8" t="s">
        <v>97</v>
      </c>
      <c r="I11" s="8" t="s">
        <v>98</v>
      </c>
      <c r="J11" s="8" t="s">
        <v>99</v>
      </c>
      <c r="K11" s="8" t="s">
        <v>92</v>
      </c>
      <c r="L11" s="8" t="s">
        <v>100</v>
      </c>
      <c r="M11" s="8"/>
    </row>
    <row r="12" spans="1:13" ht="30" customHeight="1">
      <c r="A12" s="2" t="s">
        <v>50</v>
      </c>
      <c r="B12" s="2" t="s">
        <v>66</v>
      </c>
      <c r="C12" s="21">
        <v>9</v>
      </c>
      <c r="D12" s="9" t="s">
        <v>101</v>
      </c>
      <c r="E12" s="9" t="s">
        <v>89</v>
      </c>
      <c r="F12" s="8" t="s">
        <v>23</v>
      </c>
      <c r="G12" s="8" t="s">
        <v>53</v>
      </c>
      <c r="H12" s="8" t="s">
        <v>90</v>
      </c>
      <c r="I12" s="8" t="s">
        <v>91</v>
      </c>
      <c r="J12" s="8" t="s">
        <v>99</v>
      </c>
      <c r="K12" s="8" t="s">
        <v>92</v>
      </c>
      <c r="L12" s="8" t="s">
        <v>102</v>
      </c>
      <c r="M12" s="8"/>
    </row>
    <row r="13" spans="1:13" ht="30" hidden="1" customHeight="1">
      <c r="C13" s="11">
        <v>9</v>
      </c>
      <c r="D13" s="4" t="s">
        <v>103</v>
      </c>
      <c r="E13" s="4" t="s">
        <v>104</v>
      </c>
      <c r="F13" s="4" t="s">
        <v>23</v>
      </c>
      <c r="G13" s="4" t="s">
        <v>53</v>
      </c>
      <c r="H13" s="4" t="s">
        <v>75</v>
      </c>
      <c r="I13" s="4" t="s">
        <v>75</v>
      </c>
      <c r="J13" s="4" t="s">
        <v>105</v>
      </c>
      <c r="K13" s="4" t="s">
        <v>106</v>
      </c>
      <c r="L13" s="4" t="s">
        <v>107</v>
      </c>
      <c r="M13" s="4"/>
    </row>
    <row r="15" spans="1:13" ht="15" customHeight="1">
      <c r="D15" s="10"/>
    </row>
    <row r="18" spans="4:12" ht="15" customHeight="1">
      <c r="D18" s="10"/>
    </row>
    <row r="19" spans="4:12" ht="15" customHeight="1">
      <c r="D19" s="10"/>
      <c r="H19" s="23"/>
    </row>
    <row r="23" spans="4:12" ht="15" customHeight="1">
      <c r="D23" s="10"/>
    </row>
    <row r="25" spans="4:12" s="1" customFormat="1" ht="15" customHeight="1">
      <c r="F25" s="2"/>
      <c r="G25" s="2"/>
      <c r="H25" s="2"/>
      <c r="I25" s="2"/>
      <c r="J25" s="2"/>
      <c r="K25" s="2"/>
      <c r="L25" s="2"/>
    </row>
    <row r="29" spans="4:12" s="1" customFormat="1" ht="15" customHeight="1">
      <c r="F29" s="2"/>
      <c r="G29" s="2"/>
      <c r="H29" s="2"/>
      <c r="I29" s="2"/>
      <c r="J29" s="2"/>
      <c r="K29" s="2"/>
      <c r="L29" s="2"/>
    </row>
    <row r="30" spans="4:12" s="1" customFormat="1" ht="15" customHeight="1">
      <c r="F30" s="2"/>
      <c r="G30" s="2"/>
      <c r="H30" s="2"/>
      <c r="I30" s="2"/>
      <c r="J30" s="2"/>
      <c r="K30" s="2"/>
      <c r="L30" s="2"/>
    </row>
    <row r="31" spans="4:12" s="1" customFormat="1" ht="15" customHeight="1">
      <c r="F31" s="2"/>
      <c r="G31" s="2"/>
      <c r="H31" s="2"/>
      <c r="I31" s="2"/>
      <c r="J31" s="2"/>
      <c r="K31" s="2"/>
      <c r="L31" s="2"/>
    </row>
    <row r="32" spans="4:12" s="1" customFormat="1" ht="15" customHeight="1">
      <c r="F32" s="2"/>
      <c r="G32" s="2"/>
      <c r="H32" s="2"/>
      <c r="I32" s="2"/>
      <c r="J32" s="2"/>
      <c r="K32" s="2"/>
      <c r="L32" s="2"/>
    </row>
    <row r="33" spans="6:12" s="1" customFormat="1" ht="15" customHeight="1">
      <c r="F33" s="2"/>
      <c r="G33" s="2"/>
      <c r="H33" s="2"/>
      <c r="I33" s="2"/>
      <c r="J33" s="2"/>
      <c r="K33" s="2"/>
      <c r="L33" s="2"/>
    </row>
    <row r="34" spans="6:12" s="1" customFormat="1" ht="15" customHeight="1">
      <c r="F34" s="2"/>
      <c r="G34" s="2"/>
      <c r="H34" s="2"/>
      <c r="I34" s="2"/>
      <c r="J34" s="2"/>
      <c r="K34" s="2"/>
      <c r="L34" s="2"/>
    </row>
    <row r="98" spans="6:12" s="1" customFormat="1" ht="15" customHeight="1">
      <c r="F98" s="2"/>
      <c r="G98" s="2"/>
      <c r="H98" s="2"/>
      <c r="I98" s="2"/>
      <c r="J98" s="2"/>
      <c r="K98" s="2"/>
      <c r="L98" s="2"/>
    </row>
  </sheetData>
  <autoFilter ref="D3:L3" xr:uid="{16998BAB-82A0-4C83-879B-8E2DC6F4B3A1}"/>
  <mergeCells count="1">
    <mergeCell ref="H2:I2"/>
  </mergeCells>
  <hyperlinks>
    <hyperlink ref="M7" r:id="rId1" xr:uid="{205A1816-5F8E-4CDF-B034-A9E892C55D0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9A2B-1350-4916-B63F-A1AE0CBB41E2}">
  <dimension ref="A1:L113"/>
  <sheetViews>
    <sheetView showGridLines="0" zoomScale="59" workbookViewId="0">
      <pane ySplit="3" topLeftCell="A4" activePane="bottomLeft" state="frozen"/>
      <selection pane="bottomLeft" activeCell="C11" sqref="C11"/>
    </sheetView>
  </sheetViews>
  <sheetFormatPr defaultColWidth="9" defaultRowHeight="15" customHeight="1"/>
  <cols>
    <col min="1" max="1" width="9" style="2"/>
    <col min="2" max="2" width="11.140625" style="2" bestFit="1" customWidth="1"/>
    <col min="3" max="3" width="13" style="2" customWidth="1"/>
    <col min="4" max="4" width="47.85546875" style="1" customWidth="1"/>
    <col min="5" max="5" width="41.140625" style="1" customWidth="1"/>
    <col min="6" max="6" width="43" style="2" bestFit="1" customWidth="1"/>
    <col min="7" max="9" width="13" style="2" customWidth="1"/>
    <col min="10" max="11" width="29.140625" style="2" customWidth="1"/>
    <col min="12" max="12" width="112.42578125" style="2" customWidth="1"/>
    <col min="13" max="16384" width="9" style="2"/>
  </cols>
  <sheetData>
    <row r="1" spans="1:12" ht="14.45"/>
    <row r="2" spans="1:12" ht="14.45">
      <c r="C2" s="3"/>
      <c r="D2" s="3"/>
      <c r="E2" s="3"/>
      <c r="F2" s="3"/>
      <c r="G2" s="3"/>
      <c r="H2" s="56" t="s">
        <v>0</v>
      </c>
      <c r="I2" s="56"/>
      <c r="J2" s="3"/>
      <c r="K2" s="3"/>
      <c r="L2" s="3"/>
    </row>
    <row r="3" spans="1:12" ht="14.45">
      <c r="A3" s="2" t="s">
        <v>47</v>
      </c>
      <c r="B3" s="2" t="s">
        <v>108</v>
      </c>
      <c r="C3" s="3" t="s">
        <v>49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11</v>
      </c>
    </row>
    <row r="4" spans="1:12" ht="30" customHeight="1">
      <c r="A4" s="2" t="s">
        <v>50</v>
      </c>
      <c r="B4" s="34" t="s">
        <v>50</v>
      </c>
      <c r="C4" s="11">
        <v>1</v>
      </c>
      <c r="D4" s="9" t="s">
        <v>109</v>
      </c>
      <c r="E4" s="9" t="s">
        <v>110</v>
      </c>
      <c r="F4" s="7" t="s">
        <v>14</v>
      </c>
      <c r="G4" s="8" t="s">
        <v>111</v>
      </c>
      <c r="H4" s="14">
        <v>46090</v>
      </c>
      <c r="I4" s="14">
        <v>46132</v>
      </c>
      <c r="J4" s="8" t="s">
        <v>112</v>
      </c>
      <c r="K4" s="8"/>
      <c r="L4" s="9" t="s">
        <v>113</v>
      </c>
    </row>
    <row r="5" spans="1:12" ht="30" customHeight="1">
      <c r="A5" s="2" t="s">
        <v>50</v>
      </c>
      <c r="B5" s="34" t="s">
        <v>50</v>
      </c>
      <c r="C5" s="15">
        <v>2</v>
      </c>
      <c r="D5" s="16" t="s">
        <v>114</v>
      </c>
      <c r="E5" s="16" t="s">
        <v>115</v>
      </c>
      <c r="F5" s="17" t="s">
        <v>14</v>
      </c>
      <c r="G5" s="18" t="s">
        <v>111</v>
      </c>
      <c r="H5" s="19">
        <v>46038</v>
      </c>
      <c r="I5" s="19">
        <f>H5+28</f>
        <v>46066</v>
      </c>
      <c r="J5" s="18" t="s">
        <v>116</v>
      </c>
      <c r="K5" s="18" t="s">
        <v>117</v>
      </c>
      <c r="L5" s="16" t="s">
        <v>118</v>
      </c>
    </row>
    <row r="6" spans="1:12" ht="30" hidden="1" customHeight="1">
      <c r="A6" s="2" t="s">
        <v>50</v>
      </c>
      <c r="B6" s="34" t="s">
        <v>66</v>
      </c>
      <c r="C6" s="11">
        <v>3</v>
      </c>
      <c r="D6" s="9" t="s">
        <v>119</v>
      </c>
      <c r="E6" s="9" t="s">
        <v>120</v>
      </c>
      <c r="F6" s="7" t="s">
        <v>14</v>
      </c>
      <c r="G6" s="8" t="s">
        <v>111</v>
      </c>
      <c r="H6" s="14" t="s">
        <v>75</v>
      </c>
      <c r="I6" s="14" t="s">
        <v>75</v>
      </c>
      <c r="J6" s="8" t="s">
        <v>121</v>
      </c>
      <c r="K6" s="8"/>
      <c r="L6" s="9" t="s">
        <v>122</v>
      </c>
    </row>
    <row r="7" spans="1:12" ht="30" customHeight="1">
      <c r="A7" s="2" t="s">
        <v>50</v>
      </c>
      <c r="B7" s="34" t="s">
        <v>66</v>
      </c>
      <c r="C7" s="11">
        <v>3</v>
      </c>
      <c r="D7" s="9" t="s">
        <v>123</v>
      </c>
      <c r="E7" s="9" t="s">
        <v>124</v>
      </c>
      <c r="F7" s="7" t="s">
        <v>14</v>
      </c>
      <c r="G7" s="8" t="s">
        <v>111</v>
      </c>
      <c r="H7" s="14">
        <v>46076</v>
      </c>
      <c r="I7" s="14">
        <v>46108</v>
      </c>
      <c r="J7" s="8" t="s">
        <v>121</v>
      </c>
      <c r="K7" s="8"/>
      <c r="L7" s="8" t="s">
        <v>125</v>
      </c>
    </row>
    <row r="8" spans="1:12" ht="30" customHeight="1">
      <c r="A8" s="2" t="s">
        <v>50</v>
      </c>
      <c r="B8" s="34" t="s">
        <v>50</v>
      </c>
      <c r="C8" s="25">
        <v>4</v>
      </c>
      <c r="D8" s="26" t="s">
        <v>126</v>
      </c>
      <c r="E8" s="26" t="s">
        <v>127</v>
      </c>
      <c r="F8" s="27" t="s">
        <v>14</v>
      </c>
      <c r="G8" s="28" t="s">
        <v>111</v>
      </c>
      <c r="H8" s="29">
        <v>46078</v>
      </c>
      <c r="I8" s="29">
        <f>H8+28</f>
        <v>46106</v>
      </c>
      <c r="J8" s="28" t="s">
        <v>121</v>
      </c>
      <c r="K8" s="28"/>
      <c r="L8" s="28" t="s">
        <v>128</v>
      </c>
    </row>
    <row r="9" spans="1:12" ht="30" customHeight="1">
      <c r="A9" s="2" t="s">
        <v>50</v>
      </c>
      <c r="B9" s="34" t="s">
        <v>50</v>
      </c>
      <c r="C9" s="15">
        <v>5</v>
      </c>
      <c r="D9" s="16" t="s">
        <v>129</v>
      </c>
      <c r="E9" s="16" t="s">
        <v>130</v>
      </c>
      <c r="F9" s="18" t="s">
        <v>23</v>
      </c>
      <c r="G9" s="18" t="s">
        <v>111</v>
      </c>
      <c r="H9" s="19" t="s">
        <v>131</v>
      </c>
      <c r="I9" s="19">
        <v>46055</v>
      </c>
      <c r="J9" s="20" t="s">
        <v>116</v>
      </c>
      <c r="K9" s="15"/>
      <c r="L9" s="15"/>
    </row>
    <row r="10" spans="1:12" ht="30" customHeight="1">
      <c r="A10" s="2" t="s">
        <v>50</v>
      </c>
      <c r="B10" s="34" t="s">
        <v>50</v>
      </c>
      <c r="C10" s="15">
        <v>6</v>
      </c>
      <c r="D10" s="16" t="s">
        <v>132</v>
      </c>
      <c r="E10" s="16" t="s">
        <v>115</v>
      </c>
      <c r="F10" s="18" t="s">
        <v>133</v>
      </c>
      <c r="G10" s="18" t="s">
        <v>111</v>
      </c>
      <c r="H10" s="19">
        <v>46027</v>
      </c>
      <c r="I10" s="19">
        <f>H10+28</f>
        <v>46055</v>
      </c>
      <c r="J10" s="18" t="s">
        <v>134</v>
      </c>
      <c r="K10" s="18" t="s">
        <v>117</v>
      </c>
      <c r="L10" s="18"/>
    </row>
    <row r="13" spans="1:12" ht="15" customHeight="1">
      <c r="D13" s="10"/>
    </row>
    <row r="16" spans="1:12" ht="15" customHeight="1">
      <c r="F16" s="1"/>
      <c r="G16" s="1"/>
      <c r="H16" s="1"/>
    </row>
    <row r="17" spans="6:12" ht="15" customHeight="1">
      <c r="F17" s="1"/>
      <c r="G17" s="1"/>
      <c r="H17" s="1"/>
    </row>
    <row r="21" spans="6:12" ht="15" customHeight="1">
      <c r="F21" s="1"/>
      <c r="G21" s="1"/>
      <c r="H21" s="1"/>
    </row>
    <row r="22" spans="6:12" ht="15" customHeight="1">
      <c r="F22" s="1"/>
      <c r="G22" s="1"/>
      <c r="H22" s="1"/>
    </row>
    <row r="23" spans="6:12" s="1" customFormat="1" ht="15" customHeight="1">
      <c r="F23" s="2"/>
      <c r="G23" s="2"/>
      <c r="H23" s="2"/>
      <c r="I23" s="2"/>
      <c r="J23" s="2"/>
      <c r="K23" s="2"/>
      <c r="L23" s="2"/>
    </row>
    <row r="27" spans="6:12" s="1" customFormat="1" ht="15" customHeight="1">
      <c r="F27" s="2"/>
      <c r="G27" s="2"/>
      <c r="H27" s="2"/>
      <c r="I27" s="2"/>
      <c r="J27" s="2"/>
      <c r="K27" s="2"/>
      <c r="L27" s="2"/>
    </row>
    <row r="28" spans="6:12" s="1" customFormat="1" ht="15" customHeight="1">
      <c r="F28" s="2"/>
      <c r="G28" s="2"/>
      <c r="H28" s="2"/>
      <c r="I28" s="2"/>
      <c r="J28" s="2"/>
      <c r="K28" s="2"/>
      <c r="L28" s="2"/>
    </row>
    <row r="29" spans="6:12" s="1" customFormat="1" ht="15" customHeight="1">
      <c r="I29" s="2"/>
      <c r="J29" s="2"/>
      <c r="K29" s="2"/>
      <c r="L29" s="2"/>
    </row>
    <row r="30" spans="6:12" s="1" customFormat="1" ht="15" customHeight="1">
      <c r="I30" s="2"/>
      <c r="J30" s="2"/>
      <c r="K30" s="2"/>
      <c r="L30" s="2"/>
    </row>
    <row r="31" spans="6:12" s="1" customFormat="1" ht="15" customHeight="1">
      <c r="I31" s="2"/>
      <c r="J31" s="2"/>
      <c r="K31" s="2"/>
      <c r="L31" s="2"/>
    </row>
    <row r="32" spans="6:12" s="1" customFormat="1" ht="15" customHeight="1">
      <c r="I32" s="2"/>
      <c r="J32" s="2"/>
      <c r="K32" s="2"/>
      <c r="L32" s="2"/>
    </row>
    <row r="96" spans="6:12" s="1" customFormat="1" ht="15" customHeight="1">
      <c r="F96" s="2"/>
      <c r="G96" s="2"/>
      <c r="H96" s="2"/>
      <c r="I96" s="2"/>
      <c r="J96" s="2"/>
      <c r="K96" s="2"/>
      <c r="L96" s="2"/>
    </row>
    <row r="100" spans="4:6" ht="15" customHeight="1">
      <c r="D100" s="1" t="s">
        <v>135</v>
      </c>
    </row>
    <row r="101" spans="4:6" ht="15" customHeight="1">
      <c r="D101" s="1" t="s">
        <v>136</v>
      </c>
    </row>
    <row r="104" spans="4:6" ht="15" customHeight="1">
      <c r="D104" s="1" t="s">
        <v>137</v>
      </c>
    </row>
    <row r="109" spans="4:6" ht="15" customHeight="1">
      <c r="D109" s="1" t="s">
        <v>138</v>
      </c>
    </row>
    <row r="112" spans="4:6" ht="15" customHeight="1">
      <c r="D112" s="1" t="s">
        <v>139</v>
      </c>
      <c r="E112" s="1" t="s">
        <v>140</v>
      </c>
      <c r="F112" s="2" t="s">
        <v>141</v>
      </c>
    </row>
    <row r="113" spans="4:4" ht="15" customHeight="1">
      <c r="D113" s="1" t="s">
        <v>142</v>
      </c>
    </row>
  </sheetData>
  <autoFilter ref="D3:L3" xr:uid="{16998BAB-82A0-4C83-879B-8E2DC6F4B3A1}"/>
  <mergeCells count="1">
    <mergeCell ref="H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5910-CD7D-4246-9357-FCF274B66E52}">
  <dimension ref="B1:L92"/>
  <sheetViews>
    <sheetView showGridLines="0" zoomScale="59" workbookViewId="0">
      <pane ySplit="3" topLeftCell="A4" activePane="bottomLeft" state="frozen"/>
      <selection pane="bottomLeft" activeCell="D3" sqref="D3"/>
    </sheetView>
  </sheetViews>
  <sheetFormatPr defaultColWidth="9" defaultRowHeight="15" customHeight="1"/>
  <cols>
    <col min="1" max="1" width="9" style="2"/>
    <col min="2" max="2" width="13" style="2" customWidth="1"/>
    <col min="3" max="3" width="47.85546875" style="1" customWidth="1"/>
    <col min="4" max="4" width="41.140625" style="1" customWidth="1"/>
    <col min="5" max="5" width="13.28515625" style="2" customWidth="1"/>
    <col min="6" max="8" width="13" style="2" customWidth="1"/>
    <col min="9" max="10" width="29.140625" style="2" customWidth="1"/>
    <col min="11" max="11" width="82.42578125" style="2" customWidth="1"/>
    <col min="12" max="12" width="118.5703125" style="2" customWidth="1"/>
    <col min="13" max="16384" width="9" style="2"/>
  </cols>
  <sheetData>
    <row r="1" spans="2:12" ht="14.45"/>
    <row r="2" spans="2:12" ht="14.45">
      <c r="B2" s="3"/>
      <c r="C2" s="3"/>
      <c r="D2" s="3"/>
      <c r="E2" s="3"/>
      <c r="F2" s="3"/>
      <c r="G2" s="56" t="s">
        <v>0</v>
      </c>
      <c r="H2" s="56"/>
      <c r="I2" s="3"/>
      <c r="J2" s="3"/>
      <c r="K2" s="3"/>
      <c r="L2" s="3"/>
    </row>
    <row r="3" spans="2:12" ht="14.45">
      <c r="B3" s="3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11</v>
      </c>
      <c r="L3" s="3" t="s">
        <v>143</v>
      </c>
    </row>
    <row r="4" spans="2:12" ht="41.1" customHeight="1">
      <c r="B4" s="11">
        <v>1</v>
      </c>
      <c r="C4" s="4" t="s">
        <v>144</v>
      </c>
      <c r="D4" s="9"/>
      <c r="E4" s="7" t="s">
        <v>133</v>
      </c>
      <c r="F4" s="8" t="s">
        <v>111</v>
      </c>
      <c r="G4" s="8"/>
      <c r="H4" s="8"/>
      <c r="I4" s="8" t="s">
        <v>145</v>
      </c>
      <c r="J4" s="8"/>
      <c r="K4" s="8"/>
      <c r="L4" s="12" t="s">
        <v>146</v>
      </c>
    </row>
    <row r="5" spans="2:12" ht="54" customHeight="1">
      <c r="B5" s="11">
        <v>2</v>
      </c>
      <c r="C5" s="5" t="s">
        <v>147</v>
      </c>
      <c r="D5" s="9" t="s">
        <v>148</v>
      </c>
      <c r="E5" s="7" t="s">
        <v>23</v>
      </c>
      <c r="F5" s="8" t="s">
        <v>111</v>
      </c>
      <c r="G5" s="8"/>
      <c r="H5" s="8"/>
      <c r="I5" s="8" t="s">
        <v>145</v>
      </c>
      <c r="J5" s="8"/>
      <c r="K5" s="8"/>
      <c r="L5" s="12" t="s">
        <v>149</v>
      </c>
    </row>
    <row r="6" spans="2:12" ht="50.1" customHeight="1">
      <c r="B6" s="11">
        <v>3</v>
      </c>
      <c r="C6" s="6" t="s">
        <v>150</v>
      </c>
      <c r="D6" s="9"/>
      <c r="E6" s="7" t="s">
        <v>14</v>
      </c>
      <c r="F6" s="8" t="s">
        <v>111</v>
      </c>
      <c r="G6" s="8"/>
      <c r="H6" s="8"/>
      <c r="I6" s="8" t="s">
        <v>145</v>
      </c>
      <c r="J6" s="8"/>
      <c r="K6" s="9"/>
      <c r="L6" s="4" t="s">
        <v>151</v>
      </c>
    </row>
    <row r="9" spans="2:12" ht="15" customHeight="1">
      <c r="C9" s="10"/>
    </row>
    <row r="12" spans="2:12" ht="15" customHeight="1">
      <c r="C12" s="10"/>
    </row>
    <row r="13" spans="2:12" ht="15" customHeight="1">
      <c r="C13" s="10"/>
    </row>
    <row r="17" spans="3:11" ht="15" customHeight="1">
      <c r="C17" s="10"/>
    </row>
    <row r="19" spans="3:11" s="1" customFormat="1" ht="15" customHeight="1">
      <c r="E19" s="2"/>
      <c r="F19" s="2"/>
      <c r="G19" s="2"/>
      <c r="H19" s="2"/>
      <c r="I19" s="2"/>
      <c r="J19" s="2"/>
      <c r="K19" s="2"/>
    </row>
    <row r="23" spans="3:11" s="1" customFormat="1" ht="15" customHeight="1">
      <c r="E23" s="2"/>
      <c r="F23" s="2"/>
      <c r="G23" s="2"/>
      <c r="H23" s="2"/>
      <c r="I23" s="2"/>
      <c r="J23" s="2"/>
      <c r="K23" s="2"/>
    </row>
    <row r="24" spans="3:11" s="1" customFormat="1" ht="15" customHeight="1">
      <c r="E24" s="2"/>
      <c r="F24" s="2"/>
      <c r="G24" s="2"/>
      <c r="H24" s="2"/>
      <c r="I24" s="2"/>
      <c r="J24" s="2"/>
      <c r="K24" s="2"/>
    </row>
    <row r="25" spans="3:11" s="1" customFormat="1" ht="15" customHeight="1">
      <c r="E25" s="2"/>
      <c r="F25" s="2"/>
      <c r="G25" s="2"/>
      <c r="H25" s="2"/>
      <c r="I25" s="2"/>
      <c r="J25" s="2"/>
      <c r="K25" s="2"/>
    </row>
    <row r="26" spans="3:11" s="1" customFormat="1" ht="15" customHeight="1">
      <c r="E26" s="2"/>
      <c r="F26" s="2"/>
      <c r="G26" s="2"/>
      <c r="H26" s="2"/>
      <c r="I26" s="2"/>
      <c r="J26" s="2"/>
      <c r="K26" s="2"/>
    </row>
    <row r="27" spans="3:11" s="1" customFormat="1" ht="15" customHeight="1">
      <c r="E27" s="2"/>
      <c r="F27" s="2"/>
      <c r="G27" s="2"/>
      <c r="H27" s="2"/>
      <c r="I27" s="2"/>
      <c r="J27" s="2"/>
      <c r="K27" s="2"/>
    </row>
    <row r="28" spans="3:11" s="1" customFormat="1" ht="15" customHeight="1">
      <c r="E28" s="2"/>
      <c r="F28" s="2"/>
      <c r="G28" s="2"/>
      <c r="H28" s="2"/>
      <c r="I28" s="2"/>
      <c r="J28" s="2"/>
      <c r="K28" s="2"/>
    </row>
    <row r="92" spans="5:11" s="1" customFormat="1" ht="15" customHeight="1">
      <c r="E92" s="2"/>
      <c r="F92" s="2"/>
      <c r="G92" s="2"/>
      <c r="H92" s="2"/>
      <c r="I92" s="2"/>
      <c r="J92" s="2"/>
      <c r="K92" s="2"/>
    </row>
  </sheetData>
  <autoFilter ref="C3:K3" xr:uid="{16998BAB-82A0-4C83-879B-8E2DC6F4B3A1}"/>
  <mergeCells count="1">
    <mergeCell ref="G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2F50-B6A4-4C8D-8C51-AC9415BC73CA}">
  <dimension ref="A4:C20"/>
  <sheetViews>
    <sheetView workbookViewId="0">
      <selection activeCell="B4" sqref="B4:C20"/>
    </sheetView>
  </sheetViews>
  <sheetFormatPr defaultRowHeight="14.45"/>
  <cols>
    <col min="2" max="2" width="31.85546875" bestFit="1" customWidth="1"/>
    <col min="3" max="3" width="32.28515625" customWidth="1"/>
  </cols>
  <sheetData>
    <row r="4" spans="1:3">
      <c r="B4" s="37" t="s">
        <v>152</v>
      </c>
      <c r="C4" s="38" t="s">
        <v>153</v>
      </c>
    </row>
    <row r="5" spans="1:3">
      <c r="A5" t="s">
        <v>154</v>
      </c>
      <c r="B5" s="32" t="s">
        <v>155</v>
      </c>
      <c r="C5" s="36">
        <v>44284</v>
      </c>
    </row>
    <row r="6" spans="1:3">
      <c r="B6" s="32" t="s">
        <v>156</v>
      </c>
      <c r="C6" s="36">
        <v>9093</v>
      </c>
    </row>
    <row r="7" spans="1:3">
      <c r="B7" s="41" t="s">
        <v>157</v>
      </c>
      <c r="C7" s="42">
        <v>5746</v>
      </c>
    </row>
    <row r="8" spans="1:3">
      <c r="B8" s="32" t="s">
        <v>158</v>
      </c>
      <c r="C8" s="32"/>
    </row>
    <row r="10" spans="1:3">
      <c r="B10" s="37" t="s">
        <v>159</v>
      </c>
      <c r="C10" s="38" t="s">
        <v>153</v>
      </c>
    </row>
    <row r="11" spans="1:3">
      <c r="B11" s="32" t="s">
        <v>160</v>
      </c>
      <c r="C11" s="36">
        <v>12265</v>
      </c>
    </row>
    <row r="12" spans="1:3">
      <c r="B12" s="32" t="s">
        <v>161</v>
      </c>
      <c r="C12" s="36">
        <v>4729</v>
      </c>
    </row>
    <row r="13" spans="1:3">
      <c r="B13" s="32" t="s">
        <v>162</v>
      </c>
      <c r="C13" s="36">
        <v>3935</v>
      </c>
    </row>
    <row r="14" spans="1:3">
      <c r="B14" s="32" t="s">
        <v>163</v>
      </c>
      <c r="C14" s="36">
        <v>3649</v>
      </c>
    </row>
    <row r="15" spans="1:3">
      <c r="B15" s="32" t="s">
        <v>164</v>
      </c>
      <c r="C15" s="36">
        <v>10313</v>
      </c>
    </row>
    <row r="16" spans="1:3">
      <c r="A16" t="s">
        <v>154</v>
      </c>
      <c r="B16" s="39" t="s">
        <v>165</v>
      </c>
      <c r="C16" s="40">
        <v>3700</v>
      </c>
    </row>
    <row r="17" spans="2:3">
      <c r="B17" s="32" t="s">
        <v>166</v>
      </c>
      <c r="C17" s="36">
        <v>2700</v>
      </c>
    </row>
    <row r="18" spans="2:3">
      <c r="B18" s="32" t="s">
        <v>167</v>
      </c>
      <c r="C18" s="36">
        <v>2177</v>
      </c>
    </row>
    <row r="19" spans="2:3">
      <c r="B19" s="32" t="s">
        <v>168</v>
      </c>
      <c r="C19" s="36">
        <v>2040</v>
      </c>
    </row>
    <row r="20" spans="2:3">
      <c r="B20" s="32" t="s">
        <v>169</v>
      </c>
      <c r="C20" s="32">
        <v>700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41aec1-7492-4c4b-acda-2926b8e46b9a">
      <Terms xmlns="http://schemas.microsoft.com/office/infopath/2007/PartnerControls"/>
    </lcf76f155ced4ddcb4097134ff3c332f>
    <TaxCatchAll xmlns="2841691f-46f1-4409-bcf1-76b796003b9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93DED30141A949A206DB77EFB5A554" ma:contentTypeVersion="10" ma:contentTypeDescription="Create a new document." ma:contentTypeScope="" ma:versionID="846f7afc2e12f97f7d1295c6f1ddf314">
  <xsd:schema xmlns:xsd="http://www.w3.org/2001/XMLSchema" xmlns:xs="http://www.w3.org/2001/XMLSchema" xmlns:p="http://schemas.microsoft.com/office/2006/metadata/properties" xmlns:ns2="0641aec1-7492-4c4b-acda-2926b8e46b9a" xmlns:ns3="2841691f-46f1-4409-bcf1-76b796003b96" targetNamespace="http://schemas.microsoft.com/office/2006/metadata/properties" ma:root="true" ma:fieldsID="5d6307b83241f9436a8ae838d0d76b28" ns2:_="" ns3:_="">
    <xsd:import namespace="0641aec1-7492-4c4b-acda-2926b8e46b9a"/>
    <xsd:import namespace="2841691f-46f1-4409-bcf1-76b796003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41aec1-7492-4c4b-acda-2926b8e46b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c250fe-4d95-4703-99a6-31ec72d86e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1691f-46f1-4409-bcf1-76b796003b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43581c-21fa-41bc-bfe6-8e5e07c6210c}" ma:internalName="TaxCatchAll" ma:showField="CatchAllData" ma:web="2841691f-46f1-4409-bcf1-76b796003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8E9986-0D6E-455D-9649-7098A4DFA139}"/>
</file>

<file path=customXml/itemProps2.xml><?xml version="1.0" encoding="utf-8"?>
<ds:datastoreItem xmlns:ds="http://schemas.openxmlformats.org/officeDocument/2006/customXml" ds:itemID="{12FA834F-6D90-400C-B08C-14FD9A616ECD}"/>
</file>

<file path=customXml/itemProps3.xml><?xml version="1.0" encoding="utf-8"?>
<ds:datastoreItem xmlns:ds="http://schemas.openxmlformats.org/officeDocument/2006/customXml" ds:itemID="{47632810-0C7B-4C8B-993F-B094CD6613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 Dugar</dc:creator>
  <cp:keywords/>
  <dc:description/>
  <cp:lastModifiedBy>Jay Dugar</cp:lastModifiedBy>
  <cp:revision/>
  <dcterms:created xsi:type="dcterms:W3CDTF">2026-02-11T20:59:10Z</dcterms:created>
  <dcterms:modified xsi:type="dcterms:W3CDTF">2026-08-19T16:48:22Z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0x0101005C93DED30141A949A206DB77EFB5A554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{"FileActivityType":"9","FileActivityTimeStamp":"2026-04-16T19:55:34.620Z","FileActivityUsersOnPage":[{"DisplayName":"Lucas Berger","Id":"lucas.berger@edhc.com"}],"FileActivityNavigationId":null}</vt:lpwstr>
  </property>
  <property fmtid="{D5CDD505-2E9C-101B-9397-08002B2CF9AE}" pid="7" name="TriggerFlowInfo">
    <vt:lpwstr/>
  </property>
</Properties>
</file>